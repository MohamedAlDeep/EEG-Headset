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hit\Downloads\"/>
    </mc:Choice>
  </mc:AlternateContent>
  <xr:revisionPtr revIDLastSave="0" documentId="13_ncr:1_{9A977FAF-31EE-4F72-BD39-695285114A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H20" i="1" l="1"/>
</calcChain>
</file>

<file path=xl/sharedStrings.xml><?xml version="1.0" encoding="utf-8"?>
<sst xmlns="http://schemas.openxmlformats.org/spreadsheetml/2006/main" count="77" uniqueCount="62">
  <si>
    <t>Item</t>
  </si>
  <si>
    <t>URL</t>
  </si>
  <si>
    <t>Unit Price</t>
  </si>
  <si>
    <t>Amount</t>
  </si>
  <si>
    <t>Total</t>
  </si>
  <si>
    <t/>
  </si>
  <si>
    <t>EEG Electrodes</t>
  </si>
  <si>
    <t>https://ar.aliexpress.com/item/1005003431845612.html?spm=a2g0o.productlist.main.8.590dhnlwhnlwyA&amp;algo_pvid=3f3f9c85-87e4-43f8-971d-ec09da9cbb5b&amp;algo_exp_id=3f3f9c85-87e4-43f8-971d-ec09da9cbb5b-7&amp;pdp_ext_f=%7B%22order%22%3A%2247%22%2C%22eval%22%3A%221%22%2C%22fromPage%22%3A%22search%22%7D&amp;pdp_npi=6%40dis%21EGP%211265.42%211265.42%21%21%2124.00%2124.00%21%40213ba8cc17621075265792275ef431%2112000025761673763%21sea%21EG%210%21ABX%211%210%21n_tag%3A-29910%3Bd%3A9358610f%3Bm03_new_user%3A-29895&amp;curPageLogUid=TJmvYjdGyCeK&amp;utparam-url=scene%3Asearch%7Cquery_from%3A%7Cx_object_id%3A1005003431845612%7C_p_origin_prod%3A</t>
  </si>
  <si>
    <t>100nF (Original 6.3V)</t>
  </si>
  <si>
    <t>Recommended_LCSC_PN</t>
  </si>
  <si>
    <t>C1525</t>
  </si>
  <si>
    <t>Package</t>
  </si>
  <si>
    <t>JLCPCB_Type</t>
  </si>
  <si>
    <t>Basic</t>
  </si>
  <si>
    <t>10nF</t>
  </si>
  <si>
    <t>1μF</t>
  </si>
  <si>
    <t>10μF</t>
  </si>
  <si>
    <t>C15849</t>
  </si>
  <si>
    <t>10μF (Electrolytic)</t>
  </si>
  <si>
    <t>Extended</t>
  </si>
  <si>
    <t>10kΩ</t>
  </si>
  <si>
    <t>C25804</t>
  </si>
  <si>
    <t>1MΩ</t>
  </si>
  <si>
    <t>5kΩ</t>
  </si>
  <si>
    <t>3.3V LDO</t>
  </si>
  <si>
    <t>C5018 (AMS1117-3.3)</t>
  </si>
  <si>
    <t>SOT-223</t>
  </si>
  <si>
    <t>5V LDO</t>
  </si>
  <si>
    <t>C5019 (AMS1117-5.0)</t>
  </si>
  <si>
    <t>P-MOSFET (SOT-23)</t>
  </si>
  <si>
    <t>C10487</t>
  </si>
  <si>
    <t>SOT-23</t>
  </si>
  <si>
    <t>SMT Pin Header</t>
  </si>
  <si>
    <t>ADS1299IPAGR</t>
  </si>
  <si>
    <t>https://jlcpcb.com/partdetail/TexasInstruments-ADS1299IPAGR/C476817</t>
  </si>
  <si>
    <t>C476817</t>
  </si>
  <si>
    <t>TQFP-64(10x10)</t>
  </si>
  <si>
    <t>Economic and Standard</t>
  </si>
  <si>
    <t>https://jlcpcb.com/partdetail/1877-CL05B104KO5NNNC/C1525</t>
  </si>
  <si>
    <t> $0.01</t>
  </si>
  <si>
    <t>C1524</t>
  </si>
  <si>
    <t>https://jlcpcb.com/partdetail/1876-0402B103K500NT/C1524</t>
  </si>
  <si>
    <t>C15684</t>
  </si>
  <si>
    <t>https://jlcpcb.com/partdetail/MurataElectronics-GRM155R60J105KE19D/C15684</t>
  </si>
  <si>
    <t>CP_Elec_5x5.4</t>
  </si>
  <si>
    <t>C86604</t>
  </si>
  <si>
    <t>https://jlcpcb.com/partdetail/HonorElec-RVT1E100M0505/C86604</t>
  </si>
  <si>
    <t>https://jlcpcb.com/partdetail/26547-0603WAF1002T5E/C25804</t>
  </si>
  <si>
    <t>C26083</t>
  </si>
  <si>
    <t>https://jlcpcb.com/partdetail/26826-0402WGF1004TCE/C26083</t>
  </si>
  <si>
    <t>C477765</t>
  </si>
  <si>
    <t>https://jlcpcb.com/partdetail/YAGEO-RC0402FR075KL/C477765</t>
  </si>
  <si>
    <t>https://jlcpcb.com/partdetail/Advanced_MonolithicSystems-AMS1117_33/C6186</t>
  </si>
  <si>
    <t>https://jlcpcb.com/partdetail/Advanced_MonolithicSystems-AMS1117_50/C6187</t>
  </si>
  <si>
    <t>https://jlcpcb.com/partdetail/VishayIntertech-SI2301CDS_T1GE3/C10487</t>
  </si>
  <si>
    <t>FQD4P50 (P-MOSFET)</t>
  </si>
  <si>
    <t>SMD:SOT-223</t>
  </si>
  <si>
    <t>https://jlcpcb.com/partdetail/onsemi-NTF2955T1G/C17265</t>
  </si>
  <si>
    <t>C17265</t>
  </si>
  <si>
    <t>Conn 1×01 Pin</t>
  </si>
  <si>
    <t>https://jlcpcb.com/partdetail/3294834-KH_2PH180_1X10P_L87/C2938454</t>
  </si>
  <si>
    <t>C2938454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</si>
</sst>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9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222222"/>
      <name val="Arial"/>
      <family val="2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rgb="FF202124"/>
      <name val="Arial"/>
      <family val="2"/>
    </font>
    <font>
      <sz val="8"/>
      <color rgb="FF222222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8" fontId="1" fillId="0" borderId="1" xfId="0" applyNumberFormat="1" applyFont="1" applyBorder="1" applyAlignment="1">
      <alignment horizontal="right" wrapText="1"/>
    </xf>
    <xf numFmtId="0" fontId="2" fillId="0" borderId="0" xfId="0" applyFont="1"/>
    <xf numFmtId="0" fontId="3" fillId="0" borderId="0" xfId="0" applyFont="1"/>
    <xf numFmtId="0" fontId="1" fillId="0" borderId="2" xfId="0" applyFont="1" applyBorder="1" applyAlignment="1">
      <alignment wrapText="1"/>
    </xf>
    <xf numFmtId="0" fontId="4" fillId="0" borderId="0" xfId="0" applyFont="1"/>
    <xf numFmtId="0" fontId="1" fillId="0" borderId="2" xfId="0" applyFont="1" applyBorder="1" applyAlignment="1">
      <alignment horizontal="right" wrapText="1"/>
    </xf>
    <xf numFmtId="0" fontId="4" fillId="0" borderId="0" xfId="0" applyFont="1" applyAlignment="1">
      <alignment horizontal="left" vertical="center" wrapText="1" indent="1"/>
    </xf>
    <xf numFmtId="0" fontId="3" fillId="2" borderId="0" xfId="0" applyFont="1" applyFill="1" applyAlignment="1">
      <alignment wrapText="1"/>
    </xf>
    <xf numFmtId="0" fontId="0" fillId="2" borderId="0" xfId="0" applyFill="1"/>
    <xf numFmtId="0" fontId="2" fillId="2" borderId="0" xfId="0" applyFont="1" applyFill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8" fontId="8" fillId="0" borderId="0" xfId="0" applyNumberFormat="1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lcpcb.com/partdetail/26547-0603WAF1002T5E/C258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 1"/>
  <dimension ref="A1:I20"/>
  <sheetViews>
    <sheetView tabSelected="1" topLeftCell="A12" workbookViewId="0">
      <selection activeCell="B24" sqref="B24"/>
    </sheetView>
  </sheetViews>
  <sheetFormatPr defaultRowHeight="15.6" x14ac:dyDescent="0.3"/>
  <cols>
    <col min="1" max="1" width="24.796875" customWidth="1"/>
    <col min="2" max="2" width="20.69921875" customWidth="1"/>
    <col min="3" max="3" width="12.19921875" customWidth="1"/>
    <col min="4" max="4" width="14.5" customWidth="1"/>
    <col min="5" max="5" width="16.69921875" customWidth="1"/>
    <col min="6" max="6" width="39" customWidth="1"/>
  </cols>
  <sheetData>
    <row r="1" spans="1:9" x14ac:dyDescent="0.3">
      <c r="A1" s="5" t="s">
        <v>0</v>
      </c>
      <c r="B1" s="6" t="s">
        <v>9</v>
      </c>
      <c r="C1" s="6" t="s">
        <v>11</v>
      </c>
      <c r="D1" s="6" t="s">
        <v>12</v>
      </c>
      <c r="E1" s="5" t="s">
        <v>1</v>
      </c>
      <c r="F1" s="5" t="s">
        <v>2</v>
      </c>
      <c r="G1" s="5" t="s">
        <v>3</v>
      </c>
      <c r="H1" s="5" t="s">
        <v>4</v>
      </c>
      <c r="I1" t="s">
        <v>5</v>
      </c>
    </row>
    <row r="2" spans="1:9" ht="16.2" thickBot="1" x14ac:dyDescent="0.35">
      <c r="A2" t="s">
        <v>6</v>
      </c>
      <c r="E2" t="s">
        <v>7</v>
      </c>
      <c r="F2" s="14">
        <v>26.75</v>
      </c>
      <c r="G2">
        <v>2</v>
      </c>
      <c r="H2">
        <f>PRODUCT(F2,G2)</f>
        <v>53.5</v>
      </c>
      <c r="I2" t="s">
        <v>5</v>
      </c>
    </row>
    <row r="3" spans="1:9" ht="16.8" thickBot="1" x14ac:dyDescent="0.4">
      <c r="A3" s="1" t="s">
        <v>8</v>
      </c>
      <c r="B3" s="1" t="s">
        <v>10</v>
      </c>
      <c r="C3" s="2">
        <v>402</v>
      </c>
      <c r="D3" s="3" t="s">
        <v>13</v>
      </c>
      <c r="E3" t="s">
        <v>38</v>
      </c>
      <c r="F3" s="16" t="s">
        <v>39</v>
      </c>
      <c r="G3" s="2">
        <v>4</v>
      </c>
      <c r="H3">
        <f>PRODUCT(F3,G3)</f>
        <v>4</v>
      </c>
      <c r="I3" t="s">
        <v>5</v>
      </c>
    </row>
    <row r="4" spans="1:9" ht="16.2" thickBot="1" x14ac:dyDescent="0.35">
      <c r="A4" s="3"/>
      <c r="B4" s="3"/>
      <c r="C4" s="2"/>
      <c r="D4" s="3"/>
      <c r="F4" s="4"/>
      <c r="G4" s="2"/>
    </row>
    <row r="5" spans="1:9" ht="16.8" thickBot="1" x14ac:dyDescent="0.4">
      <c r="A5" s="3" t="s">
        <v>14</v>
      </c>
      <c r="B5" s="15" t="s">
        <v>40</v>
      </c>
      <c r="C5" s="2">
        <v>402</v>
      </c>
      <c r="D5" s="3" t="s">
        <v>13</v>
      </c>
      <c r="E5" t="s">
        <v>41</v>
      </c>
      <c r="F5" s="17">
        <v>0.01</v>
      </c>
      <c r="G5" s="2">
        <v>9</v>
      </c>
      <c r="H5">
        <f t="shared" ref="H5:H17" si="0">PRODUCT(F5,G5)</f>
        <v>0.09</v>
      </c>
    </row>
    <row r="6" spans="1:9" ht="16.8" thickBot="1" x14ac:dyDescent="0.4">
      <c r="A6" s="3" t="s">
        <v>15</v>
      </c>
      <c r="B6" s="15" t="s">
        <v>42</v>
      </c>
      <c r="C6" s="2">
        <v>402</v>
      </c>
      <c r="D6" s="3" t="s">
        <v>13</v>
      </c>
      <c r="E6" t="s">
        <v>43</v>
      </c>
      <c r="F6" s="4">
        <v>0.01</v>
      </c>
      <c r="G6" s="2">
        <v>7</v>
      </c>
      <c r="H6">
        <f t="shared" si="0"/>
        <v>7.0000000000000007E-2</v>
      </c>
    </row>
    <row r="7" spans="1:9" ht="16.2" thickBot="1" x14ac:dyDescent="0.35">
      <c r="A7" s="3" t="s">
        <v>16</v>
      </c>
      <c r="B7" s="3" t="s">
        <v>17</v>
      </c>
      <c r="C7" s="2">
        <v>402</v>
      </c>
      <c r="D7" s="3" t="s">
        <v>13</v>
      </c>
      <c r="F7" s="4">
        <v>0.01</v>
      </c>
      <c r="G7" s="2">
        <v>1</v>
      </c>
      <c r="H7">
        <f t="shared" si="0"/>
        <v>0.01</v>
      </c>
    </row>
    <row r="8" spans="1:9" ht="16.8" thickBot="1" x14ac:dyDescent="0.4">
      <c r="A8" s="3" t="s">
        <v>18</v>
      </c>
      <c r="B8" s="15" t="s">
        <v>45</v>
      </c>
      <c r="C8" s="3" t="s">
        <v>44</v>
      </c>
      <c r="D8" s="3" t="s">
        <v>19</v>
      </c>
      <c r="E8" t="s">
        <v>46</v>
      </c>
      <c r="F8" s="17">
        <v>0.03</v>
      </c>
      <c r="G8" s="2">
        <v>2</v>
      </c>
      <c r="H8">
        <f t="shared" si="0"/>
        <v>0.06</v>
      </c>
    </row>
    <row r="9" spans="1:9" ht="16.8" thickBot="1" x14ac:dyDescent="0.4">
      <c r="A9" s="3" t="s">
        <v>20</v>
      </c>
      <c r="B9" s="3" t="s">
        <v>21</v>
      </c>
      <c r="C9" s="2">
        <v>603</v>
      </c>
      <c r="D9" s="3" t="s">
        <v>13</v>
      </c>
      <c r="E9" s="18" t="s">
        <v>47</v>
      </c>
      <c r="F9" s="15">
        <v>0.01</v>
      </c>
      <c r="G9" s="2">
        <v>6</v>
      </c>
      <c r="H9">
        <f t="shared" si="0"/>
        <v>0.06</v>
      </c>
    </row>
    <row r="10" spans="1:9" ht="16.8" thickBot="1" x14ac:dyDescent="0.4">
      <c r="A10" s="3" t="s">
        <v>22</v>
      </c>
      <c r="B10" s="15" t="s">
        <v>48</v>
      </c>
      <c r="C10" s="2">
        <v>402</v>
      </c>
      <c r="D10" s="3" t="s">
        <v>19</v>
      </c>
      <c r="E10" t="s">
        <v>49</v>
      </c>
      <c r="F10" s="15">
        <v>0.01</v>
      </c>
      <c r="G10" s="2">
        <v>1</v>
      </c>
      <c r="H10">
        <f t="shared" si="0"/>
        <v>0.01</v>
      </c>
    </row>
    <row r="11" spans="1:9" ht="16.8" thickBot="1" x14ac:dyDescent="0.4">
      <c r="A11" s="3" t="s">
        <v>23</v>
      </c>
      <c r="B11" s="15" t="s">
        <v>50</v>
      </c>
      <c r="C11" s="2">
        <v>402</v>
      </c>
      <c r="D11" s="3" t="s">
        <v>19</v>
      </c>
      <c r="E11" t="s">
        <v>51</v>
      </c>
      <c r="F11" s="4">
        <v>0.01</v>
      </c>
      <c r="G11" s="2">
        <v>16</v>
      </c>
      <c r="H11">
        <f t="shared" si="0"/>
        <v>0.16</v>
      </c>
    </row>
    <row r="12" spans="1:9" ht="54.6" thickBot="1" x14ac:dyDescent="0.4">
      <c r="A12" s="3" t="s">
        <v>24</v>
      </c>
      <c r="B12" s="3" t="s">
        <v>25</v>
      </c>
      <c r="C12" s="3" t="s">
        <v>26</v>
      </c>
      <c r="D12" s="3" t="s">
        <v>13</v>
      </c>
      <c r="E12" s="4" t="s">
        <v>52</v>
      </c>
      <c r="F12" s="15">
        <v>0.16</v>
      </c>
      <c r="G12" s="2">
        <v>1</v>
      </c>
      <c r="H12">
        <f t="shared" si="0"/>
        <v>0.16</v>
      </c>
    </row>
    <row r="13" spans="1:9" ht="54.6" thickBot="1" x14ac:dyDescent="0.4">
      <c r="A13" s="3" t="s">
        <v>27</v>
      </c>
      <c r="B13" s="3" t="s">
        <v>28</v>
      </c>
      <c r="C13" s="3" t="s">
        <v>26</v>
      </c>
      <c r="D13" s="3" t="s">
        <v>13</v>
      </c>
      <c r="E13" s="4" t="s">
        <v>53</v>
      </c>
      <c r="F13" s="15">
        <v>0.19</v>
      </c>
      <c r="G13" s="2">
        <v>1</v>
      </c>
      <c r="H13">
        <f t="shared" si="0"/>
        <v>0.19</v>
      </c>
    </row>
    <row r="14" spans="1:9" ht="16.8" thickBot="1" x14ac:dyDescent="0.4">
      <c r="A14" s="3" t="s">
        <v>29</v>
      </c>
      <c r="B14" s="3" t="s">
        <v>30</v>
      </c>
      <c r="C14" s="3" t="s">
        <v>31</v>
      </c>
      <c r="D14" s="3" t="s">
        <v>13</v>
      </c>
      <c r="E14" t="s">
        <v>54</v>
      </c>
      <c r="F14" s="15">
        <v>0.05</v>
      </c>
      <c r="G14" s="2">
        <v>1</v>
      </c>
      <c r="H14">
        <f t="shared" si="0"/>
        <v>0.05</v>
      </c>
    </row>
    <row r="15" spans="1:9" ht="16.8" thickBot="1" x14ac:dyDescent="0.4">
      <c r="A15" s="3" t="s">
        <v>55</v>
      </c>
      <c r="B15" s="15" t="s">
        <v>58</v>
      </c>
      <c r="C15" s="3" t="s">
        <v>56</v>
      </c>
      <c r="D15" s="3" t="s">
        <v>19</v>
      </c>
      <c r="E15" t="s">
        <v>57</v>
      </c>
      <c r="F15" s="15">
        <v>0.47</v>
      </c>
      <c r="G15" s="2">
        <v>1</v>
      </c>
      <c r="H15">
        <f t="shared" si="0"/>
        <v>0.47</v>
      </c>
    </row>
    <row r="16" spans="1:9" ht="54.6" thickBot="1" x14ac:dyDescent="0.4">
      <c r="A16" s="3" t="s">
        <v>59</v>
      </c>
      <c r="B16" s="15" t="s">
        <v>61</v>
      </c>
      <c r="C16" s="3" t="s">
        <v>32</v>
      </c>
      <c r="D16" s="3" t="s">
        <v>13</v>
      </c>
      <c r="E16" s="4" t="s">
        <v>60</v>
      </c>
      <c r="F16" s="15">
        <v>0.05</v>
      </c>
      <c r="G16" s="2">
        <v>2</v>
      </c>
      <c r="H16">
        <f t="shared" si="0"/>
        <v>0.1</v>
      </c>
    </row>
    <row r="17" spans="1:8" ht="26.4" x14ac:dyDescent="0.3">
      <c r="A17" s="7" t="s">
        <v>33</v>
      </c>
      <c r="B17" s="8" t="s">
        <v>35</v>
      </c>
      <c r="C17" s="10" t="s">
        <v>36</v>
      </c>
      <c r="D17" s="10" t="s">
        <v>37</v>
      </c>
      <c r="E17" t="s">
        <v>34</v>
      </c>
      <c r="F17" s="8">
        <v>30.66</v>
      </c>
      <c r="G17" s="9">
        <v>1</v>
      </c>
      <c r="H17">
        <f t="shared" si="0"/>
        <v>30.66</v>
      </c>
    </row>
    <row r="20" spans="1:8" x14ac:dyDescent="0.3">
      <c r="A20" s="11" t="s">
        <v>4</v>
      </c>
      <c r="B20" s="12"/>
      <c r="C20" s="12"/>
      <c r="D20" s="12"/>
      <c r="E20" s="12"/>
      <c r="F20" s="12"/>
      <c r="G20" s="12"/>
      <c r="H20" s="13">
        <f>SUM(H2:H17)</f>
        <v>89.589999999999989</v>
      </c>
    </row>
  </sheetData>
  <phoneticPr fontId="5" type="noConversion"/>
  <hyperlinks>
    <hyperlink ref="E9" r:id="rId1" xr:uid="{3E4BDDF8-102C-4496-BC23-C351193034A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Samir Abed El Nafee Mohamed</cp:lastModifiedBy>
  <dcterms:modified xsi:type="dcterms:W3CDTF">2025-11-06T23:02:39Z</dcterms:modified>
</cp:coreProperties>
</file>